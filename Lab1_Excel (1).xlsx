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  <sheet state="visible" name="Dashboard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<sst xmlns="http://schemas.openxmlformats.org/spreadsheetml/2006/main" count="183" uniqueCount="69">
  <si>
    <t>Order_ID</t>
  </si>
  <si>
    <t>Order_Date</t>
  </si>
  <si>
    <t>Sales_Rep</t>
  </si>
  <si>
    <t>Region</t>
  </si>
  <si>
    <t>Product</t>
  </si>
  <si>
    <t>Category</t>
  </si>
  <si>
    <t>Quantity</t>
  </si>
  <si>
    <t>Unit_Price</t>
  </si>
  <si>
    <t>Discount_%</t>
  </si>
  <si>
    <t>Payment_Mode</t>
  </si>
  <si>
    <t>Net_Sales</t>
  </si>
  <si>
    <t>Month</t>
  </si>
  <si>
    <t>05-01-2026</t>
  </si>
  <si>
    <t>Amit</t>
  </si>
  <si>
    <t>East</t>
  </si>
  <si>
    <t>Laptop</t>
  </si>
  <si>
    <t>Electronics</t>
  </si>
  <si>
    <t>UPI</t>
  </si>
  <si>
    <t>Jan</t>
  </si>
  <si>
    <t>07-01-2026</t>
  </si>
  <si>
    <t>Priya</t>
  </si>
  <si>
    <t>West</t>
  </si>
  <si>
    <t>Mobile</t>
  </si>
  <si>
    <t>Card</t>
  </si>
  <si>
    <t>10-01-2026</t>
  </si>
  <si>
    <t>Rahul</t>
  </si>
  <si>
    <t>North</t>
  </si>
  <si>
    <t>Chair</t>
  </si>
  <si>
    <t>Furniture</t>
  </si>
  <si>
    <t>Cash</t>
  </si>
  <si>
    <t>15-01-2026</t>
  </si>
  <si>
    <t>Sneha</t>
  </si>
  <si>
    <t>South</t>
  </si>
  <si>
    <t>Table</t>
  </si>
  <si>
    <t>20-01-2026</t>
  </si>
  <si>
    <t>Headphone</t>
  </si>
  <si>
    <t>25-01-2026</t>
  </si>
  <si>
    <t>Sofa</t>
  </si>
  <si>
    <t>EMI</t>
  </si>
  <si>
    <t>02-02-2026</t>
  </si>
  <si>
    <t>Monitor</t>
  </si>
  <si>
    <t>Feb</t>
  </si>
  <si>
    <t>05-02-2026</t>
  </si>
  <si>
    <t>Bed</t>
  </si>
  <si>
    <t>10-02-2026</t>
  </si>
  <si>
    <t>Printer</t>
  </si>
  <si>
    <t>15-02-2026</t>
  </si>
  <si>
    <t>Cupboard</t>
  </si>
  <si>
    <t>20-02-2026</t>
  </si>
  <si>
    <t>Tablet</t>
  </si>
  <si>
    <t>25-02-2026</t>
  </si>
  <si>
    <t>Desk</t>
  </si>
  <si>
    <t>05-03-2026</t>
  </si>
  <si>
    <t>Camera</t>
  </si>
  <si>
    <t>Mar</t>
  </si>
  <si>
    <t>10-03-2026</t>
  </si>
  <si>
    <t>Wardrobe</t>
  </si>
  <si>
    <t>15-03-2026</t>
  </si>
  <si>
    <t>Speaker</t>
  </si>
  <si>
    <t>20-03-2026</t>
  </si>
  <si>
    <t>Dining Table</t>
  </si>
  <si>
    <t>1. Total Net Sales by Region</t>
  </si>
  <si>
    <t>2. Total Net Sales by Category</t>
  </si>
  <si>
    <t>SUM of Net_Sales</t>
  </si>
  <si>
    <t>Grand Total</t>
  </si>
  <si>
    <t>3. Sales Rep wise performance</t>
  </si>
  <si>
    <t>4. Month-wise Sales Summary</t>
  </si>
  <si>
    <t>5. Payment Mode summary</t>
  </si>
  <si>
    <t>Chart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</si>
</sst>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b/>
      <sz val="25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Fill="1" applyFont="1"/>
    <xf borderId="0" fillId="2" fontId="3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3" fontId="4" numFmtId="0" xfId="0" applyAlignment="1" applyFill="1" applyFont="1">
      <alignment horizontal="center" readingOrder="0" vertical="center"/>
    </xf>
    <xf borderId="0" fillId="4" fontId="1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r>
              <a:rPr b="0">
                <a:solidFill>
                  <a:srgbClr val="000000"/>
                </a:solidFill>
                <a:latin typeface="Arial black"/>
              </a:rPr>
              <a:t>Total Net 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Dashboard!$D$20:$D$21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Dashboard!$C$22:$C$25</c:f>
            </c:strRef>
          </c:cat>
          <c:val>
            <c:numRef>
              <c:f>Dashboard!$D$22:$D$25</c:f>
              <c:numCache/>
            </c:numRef>
          </c:val>
        </c:ser>
        <c:axId val="319529060"/>
        <c:axId val="64479765"/>
      </c:barChart>
      <c:catAx>
        <c:axId val="319529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64479765"/>
      </c:catAx>
      <c:valAx>
        <c:axId val="64479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SUM of Net_Sales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319529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D9D9D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r>
              <a:rPr b="0">
                <a:solidFill>
                  <a:srgbClr val="000000"/>
                </a:solidFill>
                <a:latin typeface="Arial black"/>
              </a:rPr>
              <a:t>Category-wise Sales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Dashboard!$G$21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Dashboard!$F$22:$F$23</c:f>
            </c:strRef>
          </c:cat>
          <c:val>
            <c:numRef>
              <c:f>Dashboard!$G$22:$G$23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434343"/>
              </a:solidFill>
              <a:latin typeface="Arial black"/>
            </a:defRPr>
          </a:pPr>
        </a:p>
      </c:txPr>
    </c:legend>
    <c:plotVisOnly val="1"/>
  </c:chart>
  <c:spPr>
    <a:solidFill>
      <a:srgbClr val="D9D9D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r>
              <a:rPr b="0">
                <a:solidFill>
                  <a:srgbClr val="000000"/>
                </a:solidFill>
                <a:latin typeface="Arial black"/>
              </a:rPr>
              <a:t>Month-wise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Dashboard!$J$21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Dashboard!$I$22:$I$24</c:f>
            </c:strRef>
          </c:cat>
          <c:val>
            <c:numRef>
              <c:f>Dashboard!$J$22:$J$24</c:f>
              <c:numCache/>
            </c:numRef>
          </c:val>
          <c:smooth val="0"/>
        </c:ser>
        <c:axId val="274836743"/>
        <c:axId val="1238652855"/>
      </c:lineChart>
      <c:catAx>
        <c:axId val="274836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238652855"/>
      </c:catAx>
      <c:valAx>
        <c:axId val="12386528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SUM of Net_Sales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2748367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D9D9D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2</xdr:row>
      <xdr:rowOff>85725</xdr:rowOff>
    </xdr:from>
    <xdr:ext cx="4038600" cy="2686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352425</xdr:colOff>
      <xdr:row>2</xdr:row>
      <xdr:rowOff>85725</xdr:rowOff>
    </xdr:from>
    <xdr:ext cx="3914775" cy="2686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514350</xdr:colOff>
      <xdr:row>2</xdr:row>
      <xdr:rowOff>85725</xdr:rowOff>
    </xdr:from>
    <xdr:ext cx="4210050" cy="2686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7" sheet="Sheet1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</sharedItems>
    </cacheField>
    <cacheField name="Order_Date" numFmtId="0">
      <sharedItems>
        <s v="05-01-2026"/>
        <s v="07-01-2026"/>
        <s v="10-01-2026"/>
        <s v="15-01-2026"/>
        <s v="20-01-2026"/>
        <s v="25-01-2026"/>
        <s v="02-02-2026"/>
        <s v="05-02-2026"/>
        <s v="10-02-2026"/>
        <s v="15-02-2026"/>
        <s v="20-02-2026"/>
        <s v="25-02-2026"/>
        <s v="05-03-2026"/>
        <s v="10-03-2026"/>
        <s v="15-03-2026"/>
        <s v="20-03-2026"/>
      </sharedItems>
    </cacheField>
    <cacheField name="Sales_Rep" numFmtId="0">
      <sharedItems>
        <s v="Amit"/>
        <s v="Priya"/>
        <s v="Rahul"/>
        <s v="Sneha"/>
      </sharedItems>
    </cacheField>
    <cacheField name="Region" numFmtId="0">
      <sharedItems>
        <s v="East"/>
        <s v="West"/>
        <s v="North"/>
        <s v="South"/>
      </sharedItems>
    </cacheField>
    <cacheField name="Product" numFmtId="0">
      <sharedItems>
        <s v="Laptop"/>
        <s v="Mobile"/>
        <s v="Chair"/>
        <s v="Table"/>
        <s v="Headphone"/>
        <s v="Sofa"/>
        <s v="Monitor"/>
        <s v="Bed"/>
        <s v="Printer"/>
        <s v="Cupboard"/>
        <s v="Tablet"/>
        <s v="Desk"/>
        <s v="Camera"/>
        <s v="Wardrobe"/>
        <s v="Speaker"/>
        <s v="Dining Table"/>
      </sharedItems>
    </cacheField>
    <cacheField name="Category" numFmtId="0">
      <sharedItems>
        <s v="Electronics"/>
        <s v="Furniture"/>
      </sharedItems>
    </cacheField>
    <cacheField name="Quantity" numFmtId="0">
      <sharedItems containsSemiMixedTypes="0" containsString="0" containsNumber="1" containsInteger="1">
        <n v="2.0"/>
        <n v="3.0"/>
        <n v="5.0"/>
        <n v="4.0"/>
        <n v="1.0"/>
      </sharedItems>
    </cacheField>
    <cacheField name="Unit_Price" numFmtId="0">
      <sharedItems containsSemiMixedTypes="0" containsString="0" containsNumber="1" containsInteger="1">
        <n v="55000.0"/>
        <n v="20000.0"/>
        <n v="3500.0"/>
        <n v="7000.0"/>
        <n v="2000.0"/>
        <n v="25000.0"/>
        <n v="15000.0"/>
        <n v="30000.0"/>
        <n v="12000.0"/>
        <n v="18000.0"/>
        <n v="9000.0"/>
        <n v="45000.0"/>
        <n v="40000.0"/>
        <n v="5000.0"/>
        <n v="35000.0"/>
      </sharedItems>
    </cacheField>
    <cacheField name="Discount_%" numFmtId="0">
      <sharedItems containsSemiMixedTypes="0" containsString="0" containsNumber="1">
        <n v="0.1"/>
        <n v="0.05"/>
        <n v="0.0"/>
        <n v="0.15"/>
        <n v="0.2"/>
      </sharedItems>
    </cacheField>
    <cacheField name="Payment_Mode" numFmtId="0">
      <sharedItems>
        <s v="UPI"/>
        <s v="Card"/>
        <s v="Cash"/>
        <s v="EMI"/>
      </sharedItems>
    </cacheField>
    <cacheField name="Net_Sales" numFmtId="0">
      <sharedItems containsSemiMixedTypes="0" containsString="0" containsNumber="1" containsInteger="1">
        <n v="99000.0"/>
        <n v="57000.0"/>
        <n v="17500.0"/>
        <n v="11900.0"/>
        <n v="7600.0"/>
        <n v="20000.0"/>
        <n v="40500.0"/>
        <n v="30000.0"/>
        <n v="22800.0"/>
        <n v="32400.0"/>
        <n v="71250.0"/>
        <n v="18000.0"/>
        <n v="38250.0"/>
        <n v="36000.0"/>
        <n v="23750.0"/>
        <n v="28000.0"/>
      </sharedItems>
    </cacheField>
    <cacheField name="Month" numFmtId="0">
      <sharedItems>
        <s v="Jan"/>
        <s v="Feb"/>
        <s v="Ma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B3:C8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t="default"/>
      </items>
    </pivotField>
    <pivotField name="Regio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t="default"/>
      </items>
    </pivotField>
    <pivotField name="N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Net_Sales" fld="10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E3:F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axis="axisRow" compact="0" outline="0" multipleItemSelectionAllowed="1" showAll="0" sortType="ascending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t="default"/>
      </items>
    </pivotField>
    <pivotField name="N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dataFields>
    <dataField name="SUM of Net_Sales" fld="10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B13:C18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ales_Rep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t="default"/>
      </items>
    </pivotField>
    <pivotField name="N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SUM of Net_Sales" fld="10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E13:F1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t="default"/>
      </items>
    </pivotField>
    <pivotField name="N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" axis="axisRow" compact="0" outline="0" multipleItemSelectionAllowed="1" showAll="0" sortType="ascending">
      <items>
        <item x="1"/>
        <item x="0"/>
        <item x="2"/>
        <item t="default"/>
      </items>
    </pivotField>
  </pivotFields>
  <rowFields>
    <field x="11"/>
  </rowFields>
  <dataFields>
    <dataField name="SUM of Net_Sales" fld="10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H13:I18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ode" axis="axisRow" compact="0" outline="0" multipleItemSelectionAllowed="1" showAll="0" sortType="ascending">
      <items>
        <item x="1"/>
        <item x="2"/>
        <item x="3"/>
        <item x="0"/>
        <item t="default"/>
      </items>
    </pivotField>
    <pivotField name="N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dataFields>
    <dataField name="SUM of Net_Sales" fld="10" baseField="0"/>
  </dataFields>
</pivotTableDefinition>
</file>

<file path=xl/pivotTables/pivotTable6.xml><?xml version="1.0" encoding="utf-8"?>
<pivotTableDefinition xmlns="http://schemas.openxmlformats.org/spreadsheetml/2006/main" name="Dashboard" cacheId="0" dataCaption="" compact="0" compactData="0">
  <location ref="C21:D2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t="default"/>
      </items>
    </pivotField>
    <pivotField name="Regio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t="default"/>
      </items>
    </pivotField>
    <pivotField name="N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Net_Sales" fld="10" baseField="0"/>
  </dataFields>
</pivotTableDefinition>
</file>

<file path=xl/pivotTables/pivotTable7.xml><?xml version="1.0" encoding="utf-8"?>
<pivotTableDefinition xmlns="http://schemas.openxmlformats.org/spreadsheetml/2006/main" name="Dashboard 2" cacheId="0" dataCaption="" compact="0" compactData="0">
  <location ref="F21:G24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axis="axisRow" compact="0" outline="0" multipleItemSelectionAllowed="1" showAll="0" sortType="ascending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t="default"/>
      </items>
    </pivotField>
    <pivotField name="N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dataFields>
    <dataField name="SUM of Net_Sales" fld="10" baseField="0"/>
  </dataFields>
</pivotTableDefinition>
</file>

<file path=xl/pivotTables/pivotTable8.xml><?xml version="1.0" encoding="utf-8"?>
<pivotTableDefinition xmlns="http://schemas.openxmlformats.org/spreadsheetml/2006/main" name="Dashboard 3" cacheId="0" dataCaption="" compact="0" compactData="0">
  <location ref="I21:J2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ales_Rep" compact="0" outline="0" multipleItemSelectionAllowed="1" showAll="0">
      <items>
        <item x="0"/>
        <item x="1"/>
        <item x="2"/>
        <item x="3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_%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ment_Mode" compact="0" outline="0" multipleItemSelectionAllowed="1" showAll="0">
      <items>
        <item x="0"/>
        <item x="1"/>
        <item x="2"/>
        <item x="3"/>
        <item t="default"/>
      </items>
    </pivotField>
    <pivotField name="Net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" axis="axisRow" compact="0" outline="0" multipleItemSelectionAllowed="1" showAll="0" sortType="ascending">
      <items>
        <item x="1"/>
        <item x="0"/>
        <item x="2"/>
        <item t="default"/>
      </items>
    </pivotField>
  </pivotFields>
  <rowFields>
    <field x="11"/>
  </rowFields>
  <dataFields>
    <dataField name="SUM of Net_Sales" fld="10" baseField="0"/>
  </dataFields>
</pivotTableDefinition>
</file>

<file path=xl/tables/table1.xml><?xml version="1.0" encoding="utf-8"?>
<table xmlns="http://schemas.openxmlformats.org/spreadsheetml/2006/main" ref="A1:L17" displayName="Sales_Transaction_Records" name="Sales_Transaction_Records" id="1">
  <tableColumns count="12">
    <tableColumn name="Order_ID" id="1"/>
    <tableColumn name="Order_Date" id="2"/>
    <tableColumn name="Sales_Rep" id="3"/>
    <tableColumn name="Region" id="4"/>
    <tableColumn name="Product" id="5"/>
    <tableColumn name="Category" id="6"/>
    <tableColumn name="Quantity" id="7"/>
    <tableColumn name="Unit_Price" id="8"/>
    <tableColumn name="Discount_%" id="9"/>
    <tableColumn name="Payment_Mode" id="10"/>
    <tableColumn name="Net_Sales" id="11"/>
    <tableColumn name="Month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16.71"/>
    <col customWidth="1" min="3" max="3" width="19.57"/>
    <col customWidth="1" min="4" max="4" width="19.14"/>
    <col customWidth="1" min="5" max="5" width="14.86"/>
    <col customWidth="1" min="6" max="6" width="19.14"/>
    <col customWidth="1" min="7" max="7" width="17.71"/>
    <col customWidth="1" min="8" max="8" width="19.43"/>
    <col customWidth="1" min="9" max="9" width="20.71"/>
    <col customWidth="1" min="10" max="10" width="24.43"/>
    <col customWidth="1" min="11" max="11" width="19.29"/>
    <col customWidth="1" min="12" max="12" width="16.0"/>
    <col customWidth="1" min="13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1001.0</v>
      </c>
      <c r="B2" s="2" t="s">
        <v>12</v>
      </c>
      <c r="C2" s="3" t="s">
        <v>13</v>
      </c>
      <c r="D2" s="3" t="s">
        <v>14</v>
      </c>
      <c r="E2" s="2" t="s">
        <v>15</v>
      </c>
      <c r="F2" s="3" t="s">
        <v>16</v>
      </c>
      <c r="G2" s="4">
        <v>2.0</v>
      </c>
      <c r="H2" s="4">
        <v>55000.0</v>
      </c>
      <c r="I2" s="4">
        <v>0.1</v>
      </c>
      <c r="J2" s="3" t="s">
        <v>17</v>
      </c>
      <c r="K2" s="4">
        <v>99000.0</v>
      </c>
      <c r="L2" s="5" t="s">
        <v>18</v>
      </c>
    </row>
    <row r="3" ht="22.5" customHeight="1">
      <c r="A3" s="2">
        <v>1002.0</v>
      </c>
      <c r="B3" s="2" t="s">
        <v>19</v>
      </c>
      <c r="C3" s="3" t="s">
        <v>20</v>
      </c>
      <c r="D3" s="3" t="s">
        <v>21</v>
      </c>
      <c r="E3" s="2" t="s">
        <v>22</v>
      </c>
      <c r="F3" s="3" t="s">
        <v>16</v>
      </c>
      <c r="G3" s="4">
        <v>3.0</v>
      </c>
      <c r="H3" s="4">
        <v>20000.0</v>
      </c>
      <c r="I3" s="4">
        <v>0.05</v>
      </c>
      <c r="J3" s="3" t="s">
        <v>23</v>
      </c>
      <c r="K3" s="4">
        <v>57000.0</v>
      </c>
      <c r="L3" s="5" t="s">
        <v>18</v>
      </c>
    </row>
    <row r="4" ht="22.5" customHeight="1">
      <c r="A4" s="2">
        <v>1003.0</v>
      </c>
      <c r="B4" s="2" t="s">
        <v>24</v>
      </c>
      <c r="C4" s="3" t="s">
        <v>25</v>
      </c>
      <c r="D4" s="3" t="s">
        <v>26</v>
      </c>
      <c r="E4" s="2" t="s">
        <v>27</v>
      </c>
      <c r="F4" s="3" t="s">
        <v>28</v>
      </c>
      <c r="G4" s="4">
        <v>5.0</v>
      </c>
      <c r="H4" s="4">
        <v>3500.0</v>
      </c>
      <c r="I4" s="4">
        <v>0.0</v>
      </c>
      <c r="J4" s="3" t="s">
        <v>29</v>
      </c>
      <c r="K4" s="4">
        <v>17500.0</v>
      </c>
      <c r="L4" s="5" t="s">
        <v>18</v>
      </c>
    </row>
    <row r="5" ht="22.5" customHeight="1">
      <c r="A5" s="2">
        <v>1004.0</v>
      </c>
      <c r="B5" s="2" t="s">
        <v>30</v>
      </c>
      <c r="C5" s="3" t="s">
        <v>31</v>
      </c>
      <c r="D5" s="3" t="s">
        <v>32</v>
      </c>
      <c r="E5" s="2" t="s">
        <v>33</v>
      </c>
      <c r="F5" s="3" t="s">
        <v>28</v>
      </c>
      <c r="G5" s="4">
        <v>2.0</v>
      </c>
      <c r="H5" s="4">
        <v>7000.0</v>
      </c>
      <c r="I5" s="4">
        <v>0.15</v>
      </c>
      <c r="J5" s="3" t="s">
        <v>17</v>
      </c>
      <c r="K5" s="4">
        <v>11900.0</v>
      </c>
      <c r="L5" s="5" t="s">
        <v>18</v>
      </c>
    </row>
    <row r="6" ht="22.5" customHeight="1">
      <c r="A6" s="2">
        <v>1005.0</v>
      </c>
      <c r="B6" s="2" t="s">
        <v>34</v>
      </c>
      <c r="C6" s="3" t="s">
        <v>13</v>
      </c>
      <c r="D6" s="3" t="s">
        <v>14</v>
      </c>
      <c r="E6" s="2" t="s">
        <v>35</v>
      </c>
      <c r="F6" s="3" t="s">
        <v>16</v>
      </c>
      <c r="G6" s="4">
        <v>4.0</v>
      </c>
      <c r="H6" s="4">
        <v>2000.0</v>
      </c>
      <c r="I6" s="4">
        <v>0.05</v>
      </c>
      <c r="J6" s="3" t="s">
        <v>23</v>
      </c>
      <c r="K6" s="4">
        <v>7600.0</v>
      </c>
      <c r="L6" s="5" t="s">
        <v>18</v>
      </c>
    </row>
    <row r="7" ht="22.5" customHeight="1">
      <c r="A7" s="2">
        <v>1006.0</v>
      </c>
      <c r="B7" s="2" t="s">
        <v>36</v>
      </c>
      <c r="C7" s="3" t="s">
        <v>20</v>
      </c>
      <c r="D7" s="3" t="s">
        <v>21</v>
      </c>
      <c r="E7" s="2" t="s">
        <v>37</v>
      </c>
      <c r="F7" s="3" t="s">
        <v>28</v>
      </c>
      <c r="G7" s="4">
        <v>1.0</v>
      </c>
      <c r="H7" s="4">
        <v>25000.0</v>
      </c>
      <c r="I7" s="4">
        <v>0.2</v>
      </c>
      <c r="J7" s="3" t="s">
        <v>38</v>
      </c>
      <c r="K7" s="4">
        <v>20000.0</v>
      </c>
      <c r="L7" s="5" t="s">
        <v>18</v>
      </c>
    </row>
    <row r="8" ht="22.5" customHeight="1">
      <c r="A8" s="2">
        <v>1007.0</v>
      </c>
      <c r="B8" s="2" t="s">
        <v>39</v>
      </c>
      <c r="C8" s="3" t="s">
        <v>25</v>
      </c>
      <c r="D8" s="3" t="s">
        <v>26</v>
      </c>
      <c r="E8" s="2" t="s">
        <v>40</v>
      </c>
      <c r="F8" s="3" t="s">
        <v>16</v>
      </c>
      <c r="G8" s="4">
        <v>3.0</v>
      </c>
      <c r="H8" s="4">
        <v>15000.0</v>
      </c>
      <c r="I8" s="4">
        <v>0.1</v>
      </c>
      <c r="J8" s="3" t="s">
        <v>17</v>
      </c>
      <c r="K8" s="4">
        <v>40500.0</v>
      </c>
      <c r="L8" s="5" t="s">
        <v>41</v>
      </c>
    </row>
    <row r="9" ht="22.5" customHeight="1">
      <c r="A9" s="2">
        <v>1008.0</v>
      </c>
      <c r="B9" s="2" t="s">
        <v>42</v>
      </c>
      <c r="C9" s="3" t="s">
        <v>31</v>
      </c>
      <c r="D9" s="3" t="s">
        <v>32</v>
      </c>
      <c r="E9" s="2" t="s">
        <v>43</v>
      </c>
      <c r="F9" s="3" t="s">
        <v>28</v>
      </c>
      <c r="G9" s="4">
        <v>1.0</v>
      </c>
      <c r="H9" s="4">
        <v>30000.0</v>
      </c>
      <c r="I9" s="4">
        <v>0.0</v>
      </c>
      <c r="J9" s="3" t="s">
        <v>23</v>
      </c>
      <c r="K9" s="4">
        <v>30000.0</v>
      </c>
      <c r="L9" s="5" t="s">
        <v>41</v>
      </c>
    </row>
    <row r="10" ht="22.5" customHeight="1">
      <c r="A10" s="2">
        <v>1009.0</v>
      </c>
      <c r="B10" s="2" t="s">
        <v>44</v>
      </c>
      <c r="C10" s="3" t="s">
        <v>13</v>
      </c>
      <c r="D10" s="3" t="s">
        <v>14</v>
      </c>
      <c r="E10" s="2" t="s">
        <v>45</v>
      </c>
      <c r="F10" s="3" t="s">
        <v>16</v>
      </c>
      <c r="G10" s="4">
        <v>2.0</v>
      </c>
      <c r="H10" s="4">
        <v>12000.0</v>
      </c>
      <c r="I10" s="4">
        <v>0.05</v>
      </c>
      <c r="J10" s="3" t="s">
        <v>29</v>
      </c>
      <c r="K10" s="4">
        <v>22800.0</v>
      </c>
      <c r="L10" s="5" t="s">
        <v>41</v>
      </c>
    </row>
    <row r="11" ht="22.5" customHeight="1">
      <c r="A11" s="2">
        <v>1010.0</v>
      </c>
      <c r="B11" s="2" t="s">
        <v>46</v>
      </c>
      <c r="C11" s="3" t="s">
        <v>20</v>
      </c>
      <c r="D11" s="3" t="s">
        <v>21</v>
      </c>
      <c r="E11" s="2" t="s">
        <v>47</v>
      </c>
      <c r="F11" s="3" t="s">
        <v>28</v>
      </c>
      <c r="G11" s="4">
        <v>2.0</v>
      </c>
      <c r="H11" s="4">
        <v>18000.0</v>
      </c>
      <c r="I11" s="4">
        <v>0.1</v>
      </c>
      <c r="J11" s="3" t="s">
        <v>38</v>
      </c>
      <c r="K11" s="4">
        <v>32400.0</v>
      </c>
      <c r="L11" s="5" t="s">
        <v>41</v>
      </c>
    </row>
    <row r="12" ht="22.5" customHeight="1">
      <c r="A12" s="2">
        <v>1011.0</v>
      </c>
      <c r="B12" s="2" t="s">
        <v>48</v>
      </c>
      <c r="C12" s="3" t="s">
        <v>25</v>
      </c>
      <c r="D12" s="3" t="s">
        <v>26</v>
      </c>
      <c r="E12" s="2" t="s">
        <v>49</v>
      </c>
      <c r="F12" s="3" t="s">
        <v>16</v>
      </c>
      <c r="G12" s="4">
        <v>3.0</v>
      </c>
      <c r="H12" s="4">
        <v>25000.0</v>
      </c>
      <c r="I12" s="4">
        <v>0.05</v>
      </c>
      <c r="J12" s="3" t="s">
        <v>17</v>
      </c>
      <c r="K12" s="4">
        <v>71250.0</v>
      </c>
      <c r="L12" s="5" t="s">
        <v>41</v>
      </c>
    </row>
    <row r="13" ht="22.5" customHeight="1">
      <c r="A13" s="2">
        <v>1012.0</v>
      </c>
      <c r="B13" s="2" t="s">
        <v>50</v>
      </c>
      <c r="C13" s="3" t="s">
        <v>31</v>
      </c>
      <c r="D13" s="3" t="s">
        <v>32</v>
      </c>
      <c r="E13" s="2" t="s">
        <v>51</v>
      </c>
      <c r="F13" s="3" t="s">
        <v>28</v>
      </c>
      <c r="G13" s="4">
        <v>2.0</v>
      </c>
      <c r="H13" s="4">
        <v>9000.0</v>
      </c>
      <c r="I13" s="4">
        <v>0.0</v>
      </c>
      <c r="J13" s="3" t="s">
        <v>29</v>
      </c>
      <c r="K13" s="4">
        <v>18000.0</v>
      </c>
      <c r="L13" s="5" t="s">
        <v>41</v>
      </c>
    </row>
    <row r="14" ht="22.5" customHeight="1">
      <c r="A14" s="2">
        <v>1013.0</v>
      </c>
      <c r="B14" s="2" t="s">
        <v>52</v>
      </c>
      <c r="C14" s="3" t="s">
        <v>13</v>
      </c>
      <c r="D14" s="3" t="s">
        <v>14</v>
      </c>
      <c r="E14" s="2" t="s">
        <v>53</v>
      </c>
      <c r="F14" s="3" t="s">
        <v>16</v>
      </c>
      <c r="G14" s="4">
        <v>1.0</v>
      </c>
      <c r="H14" s="4">
        <v>45000.0</v>
      </c>
      <c r="I14" s="4">
        <v>0.15</v>
      </c>
      <c r="J14" s="3" t="s">
        <v>23</v>
      </c>
      <c r="K14" s="4">
        <v>38250.0</v>
      </c>
      <c r="L14" s="5" t="s">
        <v>54</v>
      </c>
    </row>
    <row r="15" ht="22.5" customHeight="1">
      <c r="A15" s="2">
        <v>1014.0</v>
      </c>
      <c r="B15" s="2" t="s">
        <v>55</v>
      </c>
      <c r="C15" s="3" t="s">
        <v>20</v>
      </c>
      <c r="D15" s="3" t="s">
        <v>21</v>
      </c>
      <c r="E15" s="2" t="s">
        <v>56</v>
      </c>
      <c r="F15" s="3" t="s">
        <v>28</v>
      </c>
      <c r="G15" s="4">
        <v>1.0</v>
      </c>
      <c r="H15" s="4">
        <v>40000.0</v>
      </c>
      <c r="I15" s="4">
        <v>0.1</v>
      </c>
      <c r="J15" s="3" t="s">
        <v>17</v>
      </c>
      <c r="K15" s="4">
        <v>36000.0</v>
      </c>
      <c r="L15" s="5" t="s">
        <v>54</v>
      </c>
    </row>
    <row r="16" ht="22.5" customHeight="1">
      <c r="A16" s="2">
        <v>1015.0</v>
      </c>
      <c r="B16" s="2" t="s">
        <v>57</v>
      </c>
      <c r="C16" s="3" t="s">
        <v>25</v>
      </c>
      <c r="D16" s="3" t="s">
        <v>26</v>
      </c>
      <c r="E16" s="2" t="s">
        <v>58</v>
      </c>
      <c r="F16" s="3" t="s">
        <v>16</v>
      </c>
      <c r="G16" s="4">
        <v>5.0</v>
      </c>
      <c r="H16" s="4">
        <v>5000.0</v>
      </c>
      <c r="I16" s="4">
        <v>0.05</v>
      </c>
      <c r="J16" s="3" t="s">
        <v>29</v>
      </c>
      <c r="K16" s="4">
        <v>23750.0</v>
      </c>
      <c r="L16" s="5" t="s">
        <v>54</v>
      </c>
    </row>
    <row r="17" ht="22.5" customHeight="1">
      <c r="A17" s="2">
        <v>1016.0</v>
      </c>
      <c r="B17" s="2" t="s">
        <v>59</v>
      </c>
      <c r="C17" s="3" t="s">
        <v>31</v>
      </c>
      <c r="D17" s="3" t="s">
        <v>32</v>
      </c>
      <c r="E17" s="2" t="s">
        <v>60</v>
      </c>
      <c r="F17" s="3" t="s">
        <v>28</v>
      </c>
      <c r="G17" s="4">
        <v>1.0</v>
      </c>
      <c r="H17" s="4">
        <v>35000.0</v>
      </c>
      <c r="I17" s="4">
        <v>0.2</v>
      </c>
      <c r="J17" s="3" t="s">
        <v>38</v>
      </c>
      <c r="K17" s="4">
        <v>28000.0</v>
      </c>
      <c r="L17" s="5" t="s">
        <v>54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dataValidations>
    <dataValidation type="list" allowBlank="1" showDropDown="1" showErrorMessage="1" sqref="C2:C17">
      <formula1>"Amit,Priya,Rahul,Sneha,Not Available"</formula1>
    </dataValidation>
    <dataValidation type="list" allowBlank="1" showDropDown="1" showErrorMessage="1" sqref="J2:J17">
      <formula1>"UPI,Card,Cash,EMI,Not Available"</formula1>
    </dataValidation>
    <dataValidation type="custom" allowBlank="1" showDropDown="1" sqref="G2:I17 K2:K17">
      <formula1>AND(ISNUMBER(G2),(NOT(OR(NOT(ISERROR(DATEVALUE(G2))), AND(ISNUMBER(G2), LEFT(CELL("format", G2))="D")))))</formula1>
    </dataValidation>
    <dataValidation type="list" allowBlank="1" showDropDown="1" showErrorMessage="1" sqref="F2:F17">
      <formula1>"Electronics,Furniture,Not Available"</formula1>
    </dataValidation>
    <dataValidation type="list" allowBlank="1" showDropDown="1" showErrorMessage="1" sqref="D2:D17">
      <formula1>"East,West,North,South,Not Available"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2">
      <c r="B2" s="6" t="s">
        <v>61</v>
      </c>
      <c r="E2" s="7" t="s">
        <v>62</v>
      </c>
    </row>
    <row r="3"/>
    <row r="4"/>
    <row r="5"/>
    <row r="6"/>
    <row r="7"/>
    <row r="8"/>
    <row r="12">
      <c r="B12" s="6" t="s">
        <v>65</v>
      </c>
      <c r="E12" s="6" t="s">
        <v>66</v>
      </c>
      <c r="H12" s="6" t="s">
        <v>67</v>
      </c>
    </row>
    <row r="13"/>
    <row r="14"/>
    <row r="15"/>
    <row r="16"/>
    <row r="17"/>
    <row r="18"/>
  </sheetData>
  <mergeCells count="5">
    <mergeCell ref="B2:C2"/>
    <mergeCell ref="E2:F2"/>
    <mergeCell ref="B12:C12"/>
    <mergeCell ref="E12:F12"/>
    <mergeCell ref="H12:I12"/>
  </mergeCell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" t="s">
        <v>68</v>
      </c>
    </row>
    <row r="3">
      <c r="A3" s="11"/>
    </row>
    <row r="20">
      <c r="C20" s="6" t="s">
        <v>61</v>
      </c>
      <c r="F20" s="7" t="s">
        <v>62</v>
      </c>
      <c r="I20" s="6" t="s">
        <v>66</v>
      </c>
    </row>
    <row r="21"/>
    <row r="22"/>
    <row r="23"/>
    <row r="24"/>
    <row r="25"/>
    <row r="26"/>
  </sheetData>
  <mergeCells count="5">
    <mergeCell ref="A1:M2"/>
    <mergeCell ref="A3:M17"/>
    <mergeCell ref="C20:D20"/>
    <mergeCell ref="F20:G20"/>
    <mergeCell ref="I20:J20"/>
  </mergeCells>
  <drawing r:id="rId4"/>
</worksheet>
</file>